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e\Downloads\"/>
    </mc:Choice>
  </mc:AlternateContent>
  <xr:revisionPtr revIDLastSave="0" documentId="8_{ABFB148D-CF4D-48CD-97FA-A2F4E94B8C71}" xr6:coauthVersionLast="47" xr6:coauthVersionMax="47" xr10:uidLastSave="{00000000-0000-0000-0000-000000000000}"/>
  <bookViews>
    <workbookView xWindow="20970" yWindow="-21600" windowWidth="12810" windowHeight="20985" xr2:uid="{975B5C71-B544-4F1F-96AD-D7CE661601A8}"/>
  </bookViews>
  <sheets>
    <sheet name="Problem1" sheetId="1" r:id="rId1"/>
    <sheet name="Problem3" sheetId="2" r:id="rId2"/>
  </sheets>
  <definedNames>
    <definedName name="lp">Problem1!$C$14</definedName>
    <definedName name="nu_235">Problem1!$D$11</definedName>
    <definedName name="nu_239">Problem1!$E$11</definedName>
    <definedName name="pu_boc">Problem1!$I$4</definedName>
    <definedName name="pu_eoc">Problem1!$N$24</definedName>
    <definedName name="pu_moc1">Problem1!$I$24</definedName>
    <definedName name="pu_moc2">Problem1!$N$4</definedName>
    <definedName name="tot_boc">Problem1!$J$4</definedName>
    <definedName name="tot_eoc">Problem1!$O$24</definedName>
    <definedName name="tot_moc1">Problem1!$J$24</definedName>
    <definedName name="tot_moc2">Problem1!$O$4</definedName>
    <definedName name="u_boc">Problem1!$H$4</definedName>
    <definedName name="u_eoc">Problem1!$M$24</definedName>
    <definedName name="u_moc1">Problem1!$H$24</definedName>
    <definedName name="u_moc2">Problem1!$M$4</definedName>
    <definedName name="w">Problem3!$A$9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N4" i="2" a="1"/>
  <c r="N4" i="2" s="1"/>
  <c r="N5" i="2" a="1"/>
  <c r="N5" i="2" s="1"/>
  <c r="N6" i="2" a="1"/>
  <c r="N6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4" i="2" a="1"/>
  <c r="N24" i="2" s="1"/>
  <c r="N25" i="2" a="1"/>
  <c r="N25" i="2" s="1"/>
  <c r="N26" i="2" a="1"/>
  <c r="N26" i="2" s="1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" i="2" a="1"/>
  <c r="N3" i="2" s="1"/>
  <c r="A9" i="2"/>
  <c r="B9" i="2" s="1"/>
  <c r="L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" i="2"/>
  <c r="E25" i="1"/>
  <c r="E24" i="1"/>
  <c r="D24" i="1"/>
  <c r="E18" i="1"/>
  <c r="E19" i="1"/>
  <c r="E20" i="1"/>
  <c r="E21" i="1"/>
  <c r="E22" i="1"/>
  <c r="E17" i="1"/>
  <c r="D18" i="1"/>
  <c r="D19" i="1"/>
  <c r="D20" i="1"/>
  <c r="D21" i="1"/>
  <c r="D22" i="1"/>
  <c r="D17" i="1"/>
  <c r="C18" i="1"/>
  <c r="C19" i="1"/>
  <c r="C20" i="1"/>
  <c r="C21" i="1"/>
  <c r="C22" i="1"/>
  <c r="C17" i="1"/>
  <c r="N24" i="1" a="1"/>
  <c r="N24" i="1" s="1"/>
  <c r="M24" i="1"/>
  <c r="N4" i="1" a="1"/>
  <c r="N4" i="1" s="1"/>
  <c r="M4" i="1"/>
  <c r="I24" i="1" a="1"/>
  <c r="I24" i="1" s="1"/>
  <c r="H24" i="1"/>
  <c r="I4" i="1" a="1"/>
  <c r="I4" i="1" s="1"/>
  <c r="H4" i="1"/>
  <c r="L9" i="2" l="1"/>
  <c r="J9" i="2"/>
  <c r="P11" i="2" s="1"/>
  <c r="I9" i="2"/>
  <c r="H9" i="2"/>
  <c r="D9" i="2"/>
  <c r="G9" i="2"/>
  <c r="C9" i="2"/>
  <c r="F9" i="2"/>
  <c r="O4" i="1"/>
  <c r="M15" i="1" s="1"/>
  <c r="O24" i="1"/>
  <c r="M35" i="1" s="1"/>
  <c r="J4" i="1"/>
  <c r="H15" i="1" s="1"/>
  <c r="I15" i="1" s="1"/>
  <c r="J24" i="1"/>
  <c r="H35" i="1" s="1"/>
  <c r="N7" i="2" l="1" a="1"/>
  <c r="N7" i="2" s="1"/>
  <c r="N9" i="2" a="1"/>
  <c r="N9" i="2" s="1"/>
  <c r="I35" i="1"/>
  <c r="N15" i="1"/>
  <c r="M9" i="1"/>
  <c r="M29" i="1"/>
  <c r="M28" i="1"/>
  <c r="M11" i="1"/>
  <c r="M30" i="1"/>
  <c r="M31" i="1"/>
  <c r="M7" i="1"/>
  <c r="M12" i="1"/>
  <c r="M32" i="1"/>
  <c r="M27" i="1"/>
  <c r="M10" i="1"/>
  <c r="M8" i="1"/>
  <c r="H32" i="1"/>
  <c r="H27" i="1"/>
  <c r="H29" i="1"/>
  <c r="H31" i="1"/>
  <c r="H7" i="1"/>
  <c r="H8" i="1"/>
  <c r="H12" i="1"/>
  <c r="H9" i="1"/>
  <c r="H10" i="1"/>
  <c r="H28" i="1"/>
  <c r="H11" i="1"/>
  <c r="H30" i="1"/>
  <c r="P6" i="2" l="1"/>
  <c r="H14" i="1"/>
  <c r="I14" i="1" s="1"/>
  <c r="M14" i="1"/>
  <c r="M34" i="1"/>
  <c r="N35" i="1"/>
  <c r="N14" i="1" l="1"/>
  <c r="I34" i="1"/>
  <c r="N3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<sst xmlns="http://schemas.openxmlformats.org/spreadsheetml/2006/main" count="67" uniqueCount="39">
  <si>
    <t>group</t>
  </si>
  <si>
    <t>lambda (s-1)</t>
  </si>
  <si>
    <t>beta_k U-235</t>
  </si>
  <si>
    <t>beta_k Pu-239</t>
  </si>
  <si>
    <t>b_total</t>
  </si>
  <si>
    <t>total nu</t>
  </si>
  <si>
    <t>BOC</t>
  </si>
  <si>
    <t>MOC1</t>
  </si>
  <si>
    <t>MOC2</t>
  </si>
  <si>
    <t>EOC</t>
  </si>
  <si>
    <t>U-235</t>
  </si>
  <si>
    <t>Pu-239</t>
  </si>
  <si>
    <t>Fission power</t>
  </si>
  <si>
    <t>Relative neutron yield</t>
  </si>
  <si>
    <t>total</t>
  </si>
  <si>
    <t>% increase</t>
  </si>
  <si>
    <t>beta_tot</t>
  </si>
  <si>
    <t>nu_tot</t>
  </si>
  <si>
    <t>value</t>
  </si>
  <si>
    <t>l_p</t>
  </si>
  <si>
    <t>ldj</t>
  </si>
  <si>
    <t>beta_k</t>
  </si>
  <si>
    <t>BOC weight</t>
  </si>
  <si>
    <t>EOC weight</t>
  </si>
  <si>
    <t>mean life:</t>
  </si>
  <si>
    <t>change</t>
  </si>
  <si>
    <t>Group number</t>
  </si>
  <si>
    <t>ug</t>
  </si>
  <si>
    <t>Eg</t>
  </si>
  <si>
    <t>chi1</t>
  </si>
  <si>
    <t>chi2</t>
  </si>
  <si>
    <t>chi3</t>
  </si>
  <si>
    <t>chi4,5,6</t>
  </si>
  <si>
    <t>chi</t>
  </si>
  <si>
    <t>dE_G</t>
  </si>
  <si>
    <t>avg_chi</t>
  </si>
  <si>
    <t>fission_prompt</t>
  </si>
  <si>
    <t>fission_delayed</t>
  </si>
  <si>
    <t>linear interpolation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</si>
</sst>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 style="thick">
        <color auto="1"/>
      </top>
      <bottom/>
      <diagonal/>
    </border>
    <border>
      <left style="mediumDashDotDot">
        <color auto="1"/>
      </left>
      <right/>
      <top/>
      <bottom style="thick">
        <color auto="1"/>
      </bottom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9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0" xfId="0" applyFont="1" applyBorder="1"/>
    <xf numFmtId="0" fontId="0" fillId="0" borderId="13" xfId="0" applyBorder="1"/>
    <xf numFmtId="0" fontId="0" fillId="0" borderId="12" xfId="0" applyBorder="1"/>
    <xf numFmtId="0" fontId="3" fillId="0" borderId="0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1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22CF-DAE3-445C-BA95-BBBC19D86364}">
  <dimension ref="B1:P36"/>
  <sheetViews>
    <sheetView tabSelected="1" zoomScale="70" zoomScaleNormal="70" workbookViewId="0">
      <selection activeCell="D17" sqref="D17"/>
    </sheetView>
  </sheetViews>
  <sheetFormatPr defaultRowHeight="14.4" x14ac:dyDescent="0.3"/>
  <cols>
    <col min="3" max="3" width="12.88671875" customWidth="1"/>
    <col min="4" max="4" width="11.77734375" customWidth="1"/>
    <col min="5" max="5" width="12.77734375" customWidth="1"/>
    <col min="6" max="6" width="13.77734375" customWidth="1"/>
    <col min="7" max="7" width="17.44140625" customWidth="1"/>
    <col min="11" max="11" width="17.21875" customWidth="1"/>
    <col min="12" max="12" width="15" customWidth="1"/>
  </cols>
  <sheetData>
    <row r="1" spans="2:16" ht="15" thickBot="1" x14ac:dyDescent="0.35"/>
    <row r="2" spans="2:16" x14ac:dyDescent="0.3">
      <c r="B2" t="s">
        <v>0</v>
      </c>
      <c r="C2" t="s">
        <v>1</v>
      </c>
      <c r="D2" t="s">
        <v>2</v>
      </c>
      <c r="E2" t="s">
        <v>3</v>
      </c>
      <c r="G2" s="11"/>
      <c r="H2" s="12" t="s">
        <v>10</v>
      </c>
      <c r="I2" s="12" t="s">
        <v>11</v>
      </c>
      <c r="J2" s="12" t="s">
        <v>14</v>
      </c>
      <c r="K2" s="13"/>
      <c r="L2" s="13"/>
      <c r="M2" s="12" t="s">
        <v>10</v>
      </c>
      <c r="N2" s="12" t="s">
        <v>11</v>
      </c>
      <c r="O2" s="12" t="s">
        <v>14</v>
      </c>
      <c r="P2" s="14"/>
    </row>
    <row r="3" spans="2:16" x14ac:dyDescent="0.3">
      <c r="B3">
        <v>1</v>
      </c>
      <c r="C3">
        <v>1.2375000000000001E-2</v>
      </c>
      <c r="D3">
        <v>2.1000000000000001E-4</v>
      </c>
      <c r="E3">
        <v>6.9999999999999994E-5</v>
      </c>
      <c r="G3" s="15" t="s">
        <v>12</v>
      </c>
      <c r="H3" s="5">
        <v>0.9</v>
      </c>
      <c r="I3" s="5">
        <v>0.1</v>
      </c>
      <c r="J3" s="5"/>
      <c r="K3" s="5"/>
      <c r="L3" s="16" t="s">
        <v>12</v>
      </c>
      <c r="M3" s="5">
        <v>0.8</v>
      </c>
      <c r="N3" s="5">
        <v>0.2</v>
      </c>
      <c r="O3" s="5"/>
      <c r="P3" s="17"/>
    </row>
    <row r="4" spans="2:16" x14ac:dyDescent="0.3">
      <c r="B4">
        <v>2</v>
      </c>
      <c r="C4">
        <v>3.0130000000000001E-2</v>
      </c>
      <c r="D4">
        <v>1.42E-3</v>
      </c>
      <c r="E4">
        <v>6.3000000000000003E-4</v>
      </c>
      <c r="G4" s="15" t="s">
        <v>13</v>
      </c>
      <c r="H4" s="5">
        <f>H3*nu_235</f>
        <v>2.1870000000000003</v>
      </c>
      <c r="I4" s="5" cm="1">
        <f t="array" ref="I4">I3*nu_239</f>
        <v>0.28999999999999998</v>
      </c>
      <c r="J4" s="5">
        <f>SUM(H4:I4)</f>
        <v>2.4770000000000003</v>
      </c>
      <c r="K4" s="5"/>
      <c r="L4" s="16" t="s">
        <v>13</v>
      </c>
      <c r="M4" s="5">
        <f>M3*nu_235</f>
        <v>1.9440000000000002</v>
      </c>
      <c r="N4" s="5" cm="1">
        <f t="array" ref="N4">N3*nu_239</f>
        <v>0.57999999999999996</v>
      </c>
      <c r="O4" s="5">
        <f>SUM(M4:N4)</f>
        <v>2.524</v>
      </c>
      <c r="P4" s="17"/>
    </row>
    <row r="5" spans="2:16" x14ac:dyDescent="0.3">
      <c r="B5">
        <v>3</v>
      </c>
      <c r="C5">
        <v>0.111774</v>
      </c>
      <c r="D5">
        <v>1.2800000000000001E-3</v>
      </c>
      <c r="E5">
        <v>4.4000000000000002E-4</v>
      </c>
      <c r="G5" s="18"/>
      <c r="H5" s="5"/>
      <c r="I5" s="5"/>
      <c r="J5" s="5"/>
      <c r="K5" s="5"/>
      <c r="L5" s="5"/>
      <c r="M5" s="5"/>
      <c r="N5" s="5"/>
      <c r="O5" s="5"/>
      <c r="P5" s="17"/>
    </row>
    <row r="6" spans="2:16" ht="15.6" x14ac:dyDescent="0.3">
      <c r="B6">
        <v>4</v>
      </c>
      <c r="C6">
        <v>0.30130400000000002</v>
      </c>
      <c r="D6">
        <v>2.5699999999999998E-3</v>
      </c>
      <c r="E6">
        <v>6.8999999999999997E-4</v>
      </c>
      <c r="G6" s="19" t="s">
        <v>6</v>
      </c>
      <c r="H6" s="26" t="s">
        <v>21</v>
      </c>
      <c r="I6" s="5"/>
      <c r="J6" s="5"/>
      <c r="K6" s="5"/>
      <c r="L6" s="19" t="s">
        <v>8</v>
      </c>
      <c r="M6" s="26" t="s">
        <v>21</v>
      </c>
      <c r="N6" s="5"/>
      <c r="O6" s="5"/>
      <c r="P6" s="17"/>
    </row>
    <row r="7" spans="2:16" x14ac:dyDescent="0.3">
      <c r="B7">
        <v>5</v>
      </c>
      <c r="C7">
        <v>1.1360650000000001</v>
      </c>
      <c r="D7">
        <v>7.5000000000000002E-4</v>
      </c>
      <c r="E7">
        <v>1.8000000000000001E-4</v>
      </c>
      <c r="G7" s="18"/>
      <c r="H7" s="5">
        <f>(($D3*u_boc)+($E3*pu_boc))/tot_boc</f>
        <v>1.9360920468308439E-4</v>
      </c>
      <c r="I7" s="5"/>
      <c r="J7" s="5"/>
      <c r="K7" s="5"/>
      <c r="L7" s="5"/>
      <c r="M7" s="5">
        <f>(($D3*u_moc2)+($E3*pu_moc2))/tot_moc2</f>
        <v>1.7782884310618067E-4</v>
      </c>
      <c r="N7" s="5"/>
      <c r="O7" s="5"/>
      <c r="P7" s="17"/>
    </row>
    <row r="8" spans="2:16" x14ac:dyDescent="0.3">
      <c r="B8">
        <v>6</v>
      </c>
      <c r="C8">
        <v>3.0130430000000001</v>
      </c>
      <c r="D8">
        <v>2.7E-4</v>
      </c>
      <c r="E8">
        <v>9.0000000000000006E-5</v>
      </c>
      <c r="G8" s="18"/>
      <c r="H8" s="5">
        <f>(($D4*u_boc)+($E4*pu_boc))/tot_boc</f>
        <v>1.3275090835688332E-3</v>
      </c>
      <c r="I8" s="5"/>
      <c r="J8" s="5"/>
      <c r="K8" s="5"/>
      <c r="L8" s="5"/>
      <c r="M8" s="5">
        <f>(($D4*u_moc2)+($E4*pu_moc2))/tot_moc2</f>
        <v>1.238462757527734E-3</v>
      </c>
      <c r="N8" s="5"/>
      <c r="O8" s="5"/>
      <c r="P8" s="17"/>
    </row>
    <row r="9" spans="2:16" x14ac:dyDescent="0.3">
      <c r="G9" s="18"/>
      <c r="H9" s="5">
        <f>(($D5*u_boc)+($E5*pu_boc))/tot_boc</f>
        <v>1.1816552280985064E-3</v>
      </c>
      <c r="I9" s="5"/>
      <c r="J9" s="5"/>
      <c r="K9" s="5"/>
      <c r="L9" s="5"/>
      <c r="M9" s="5">
        <f>(($D5*u_moc2)+($E5*pu_moc2))/tot_moc2</f>
        <v>1.0869730586370843E-3</v>
      </c>
      <c r="N9" s="5"/>
      <c r="O9" s="5"/>
      <c r="P9" s="17"/>
    </row>
    <row r="10" spans="2:16" x14ac:dyDescent="0.3">
      <c r="B10" t="s">
        <v>4</v>
      </c>
      <c r="D10">
        <v>6.4999999999999997E-3</v>
      </c>
      <c r="E10">
        <v>2.0999999999999999E-3</v>
      </c>
      <c r="G10" s="18"/>
      <c r="H10" s="5">
        <f>(($D6*u_boc)+($E6*pu_boc))/tot_boc</f>
        <v>2.3498950343157042E-3</v>
      </c>
      <c r="I10" s="5"/>
      <c r="J10" s="5"/>
      <c r="K10" s="5"/>
      <c r="L10" s="5"/>
      <c r="M10" s="5">
        <f>(($D6*u_moc2)+($E6*pu_moc2))/tot_moc2</f>
        <v>2.1379873217115689E-3</v>
      </c>
      <c r="N10" s="5"/>
      <c r="O10" s="5"/>
      <c r="P10" s="17"/>
    </row>
    <row r="11" spans="2:16" x14ac:dyDescent="0.3">
      <c r="B11" t="s">
        <v>5</v>
      </c>
      <c r="D11">
        <v>2.4300000000000002</v>
      </c>
      <c r="E11">
        <v>2.9</v>
      </c>
      <c r="G11" s="18"/>
      <c r="H11" s="5">
        <f>(($D7*u_boc)+($E7*pu_boc))/tot_boc</f>
        <v>6.832660476382721E-4</v>
      </c>
      <c r="I11" s="5"/>
      <c r="J11" s="5"/>
      <c r="K11" s="5"/>
      <c r="L11" s="5"/>
      <c r="M11" s="5">
        <f>(($D7*u_moc2)+($E7*pu_moc2))/tot_moc2</f>
        <v>6.1901743264659273E-4</v>
      </c>
      <c r="N11" s="5"/>
      <c r="O11" s="5"/>
      <c r="P11" s="17"/>
    </row>
    <row r="12" spans="2:16" ht="15" thickBot="1" x14ac:dyDescent="0.35">
      <c r="G12" s="18"/>
      <c r="H12" s="5">
        <f>(($D8*u_boc)+($E8*pu_boc))/tot_boc</f>
        <v>2.4892612030682278E-4</v>
      </c>
      <c r="I12" s="5"/>
      <c r="J12" s="5"/>
      <c r="K12" s="5"/>
      <c r="L12" s="5"/>
      <c r="M12" s="5">
        <f>(($D8*u_moc2)+($E8*pu_moc2))/tot_moc2</f>
        <v>2.2863708399366086E-4</v>
      </c>
      <c r="N12" s="5"/>
      <c r="O12" s="5"/>
      <c r="P12" s="17"/>
    </row>
    <row r="13" spans="2:16" ht="15" thickTop="1" x14ac:dyDescent="0.3">
      <c r="G13" s="20"/>
      <c r="H13" s="2" t="s">
        <v>18</v>
      </c>
      <c r="I13" s="3" t="s">
        <v>15</v>
      </c>
      <c r="J13" s="5"/>
      <c r="K13" s="5"/>
      <c r="L13" s="1"/>
      <c r="M13" s="2"/>
      <c r="N13" s="3" t="s">
        <v>15</v>
      </c>
      <c r="O13" s="5"/>
      <c r="P13" s="17"/>
    </row>
    <row r="14" spans="2:16" x14ac:dyDescent="0.3">
      <c r="B14" t="s">
        <v>19</v>
      </c>
      <c r="C14" s="25">
        <v>1E-4</v>
      </c>
      <c r="G14" s="18" t="s">
        <v>16</v>
      </c>
      <c r="H14" s="5">
        <f>SUM(H7:H12)</f>
        <v>5.9848607186112233E-3</v>
      </c>
      <c r="I14" s="6">
        <f>(H14-$H14)/H14</f>
        <v>0</v>
      </c>
      <c r="J14" s="5"/>
      <c r="K14" s="5"/>
      <c r="L14" s="4" t="s">
        <v>16</v>
      </c>
      <c r="M14" s="5">
        <f>SUM(M7:M12)</f>
        <v>5.4889064976228214E-3</v>
      </c>
      <c r="N14" s="6">
        <f>(M14-$H14)/M14</f>
        <v>-9.0355742296428926E-2</v>
      </c>
      <c r="O14" s="5"/>
      <c r="P14" s="17"/>
    </row>
    <row r="15" spans="2:16" ht="15" thickBot="1" x14ac:dyDescent="0.35">
      <c r="G15" s="21" t="s">
        <v>17</v>
      </c>
      <c r="H15" s="8">
        <f>tot_boc</f>
        <v>2.4770000000000003</v>
      </c>
      <c r="I15" s="9">
        <f>(H15-$H15)/H15</f>
        <v>0</v>
      </c>
      <c r="J15" s="5"/>
      <c r="K15" s="5"/>
      <c r="L15" s="7" t="s">
        <v>17</v>
      </c>
      <c r="M15" s="8">
        <f>tot_moc2</f>
        <v>2.524</v>
      </c>
      <c r="N15" s="9">
        <f>(M15-$H15)/M15</f>
        <v>1.8621236133121912E-2</v>
      </c>
      <c r="O15" s="5"/>
      <c r="P15" s="17"/>
    </row>
    <row r="16" spans="2:16" ht="15" thickTop="1" x14ac:dyDescent="0.3">
      <c r="B16" t="s">
        <v>0</v>
      </c>
      <c r="C16" t="s">
        <v>20</v>
      </c>
      <c r="D16" t="s">
        <v>22</v>
      </c>
      <c r="E16" t="s">
        <v>23</v>
      </c>
      <c r="G16" s="18"/>
      <c r="H16" s="5"/>
      <c r="I16" s="5"/>
      <c r="J16" s="5"/>
      <c r="K16" s="5"/>
      <c r="L16" s="5"/>
      <c r="M16" s="5"/>
      <c r="N16" s="5"/>
      <c r="O16" s="5"/>
      <c r="P16" s="17"/>
    </row>
    <row r="17" spans="2:16" x14ac:dyDescent="0.3">
      <c r="B17">
        <v>1</v>
      </c>
      <c r="C17">
        <f>lp +(1/C3)</f>
        <v>80.808180808080806</v>
      </c>
      <c r="D17">
        <f>C17*H7</f>
        <v>1.5645207618139409E-2</v>
      </c>
      <c r="E17">
        <f>C17*M27</f>
        <v>1.3141465763386491E-2</v>
      </c>
      <c r="G17" s="18"/>
      <c r="H17" s="5"/>
      <c r="I17" s="5"/>
      <c r="J17" s="5"/>
      <c r="K17" s="5"/>
      <c r="L17" s="5"/>
      <c r="M17" s="5"/>
      <c r="N17" s="5"/>
      <c r="O17" s="5"/>
      <c r="P17" s="17"/>
    </row>
    <row r="18" spans="2:16" x14ac:dyDescent="0.3">
      <c r="B18">
        <v>2</v>
      </c>
      <c r="C18">
        <f>lp +(1/C4)</f>
        <v>33.189612114171922</v>
      </c>
      <c r="D18">
        <f t="shared" ref="D18:D22" si="0">C18*H8</f>
        <v>4.4059511561689413E-2</v>
      </c>
      <c r="E18">
        <f t="shared" ref="E18:E22" si="1">C18*M28</f>
        <v>3.8256740292722975E-2</v>
      </c>
      <c r="G18" s="18"/>
      <c r="H18" s="5"/>
      <c r="I18" s="5"/>
      <c r="J18" s="5"/>
      <c r="K18" s="5"/>
      <c r="L18" s="5"/>
      <c r="M18" s="5"/>
      <c r="N18" s="5"/>
      <c r="O18" s="5"/>
      <c r="P18" s="17"/>
    </row>
    <row r="19" spans="2:16" x14ac:dyDescent="0.3">
      <c r="B19">
        <v>3</v>
      </c>
      <c r="C19">
        <f>lp +(1/C5)</f>
        <v>8.9467244385993165</v>
      </c>
      <c r="D19">
        <f t="shared" si="0"/>
        <v>1.0571943707227558E-2</v>
      </c>
      <c r="E19">
        <f t="shared" si="1"/>
        <v>8.9087243488017651E-3</v>
      </c>
      <c r="G19" s="18"/>
      <c r="H19" s="5"/>
      <c r="I19" s="5"/>
      <c r="J19" s="5"/>
      <c r="K19" s="5"/>
      <c r="L19" s="5"/>
      <c r="M19" s="5"/>
      <c r="N19" s="5"/>
      <c r="O19" s="5"/>
      <c r="P19" s="17"/>
    </row>
    <row r="20" spans="2:16" x14ac:dyDescent="0.3">
      <c r="B20">
        <v>4</v>
      </c>
      <c r="C20">
        <f>lp +(1/C6)</f>
        <v>3.3190071502535647</v>
      </c>
      <c r="D20">
        <f t="shared" si="0"/>
        <v>7.7993184212391681E-3</v>
      </c>
      <c r="E20">
        <f t="shared" si="1"/>
        <v>6.4183866511595446E-3</v>
      </c>
      <c r="G20" s="18"/>
      <c r="H20" s="5"/>
      <c r="I20" s="5"/>
      <c r="J20" s="5"/>
      <c r="K20" s="5"/>
      <c r="L20" s="5"/>
      <c r="M20" s="5"/>
      <c r="N20" s="5"/>
      <c r="O20" s="5"/>
      <c r="P20" s="17"/>
    </row>
    <row r="21" spans="2:16" x14ac:dyDescent="0.3">
      <c r="B21">
        <v>5</v>
      </c>
      <c r="C21">
        <f>lp +(1/C7)</f>
        <v>0.88033132479215526</v>
      </c>
      <c r="D21">
        <f t="shared" si="0"/>
        <v>6.0150050490289991E-4</v>
      </c>
      <c r="E21">
        <f t="shared" si="1"/>
        <v>4.9044829757527951E-4</v>
      </c>
      <c r="G21" s="18"/>
      <c r="H21" s="5"/>
      <c r="I21" s="5"/>
      <c r="J21" s="5"/>
      <c r="K21" s="5"/>
      <c r="L21" s="5"/>
      <c r="M21" s="5"/>
      <c r="N21" s="5"/>
      <c r="O21" s="5"/>
      <c r="P21" s="17"/>
    </row>
    <row r="22" spans="2:16" x14ac:dyDescent="0.3">
      <c r="B22">
        <v>6</v>
      </c>
      <c r="C22">
        <f>lp +(1/C8)</f>
        <v>0.33199038457134528</v>
      </c>
      <c r="D22">
        <f t="shared" si="0"/>
        <v>8.2641078410515057E-5</v>
      </c>
      <c r="E22">
        <f t="shared" si="1"/>
        <v>6.9415819149754211E-5</v>
      </c>
      <c r="G22" s="18"/>
      <c r="H22" s="16" t="s">
        <v>10</v>
      </c>
      <c r="I22" s="16" t="s">
        <v>11</v>
      </c>
      <c r="J22" s="16" t="s">
        <v>14</v>
      </c>
      <c r="K22" s="5"/>
      <c r="L22" s="5"/>
      <c r="M22" s="16" t="s">
        <v>10</v>
      </c>
      <c r="N22" s="16" t="s">
        <v>11</v>
      </c>
      <c r="O22" s="16" t="s">
        <v>14</v>
      </c>
      <c r="P22" s="17"/>
    </row>
    <row r="23" spans="2:16" x14ac:dyDescent="0.3">
      <c r="G23" s="15" t="s">
        <v>12</v>
      </c>
      <c r="H23" s="5">
        <v>0.85</v>
      </c>
      <c r="I23" s="5">
        <v>0.15</v>
      </c>
      <c r="J23" s="5"/>
      <c r="K23" s="5"/>
      <c r="L23" s="16" t="s">
        <v>12</v>
      </c>
      <c r="M23" s="5">
        <v>0.7</v>
      </c>
      <c r="N23" s="5">
        <v>0.3</v>
      </c>
      <c r="O23" s="5"/>
      <c r="P23" s="17"/>
    </row>
    <row r="24" spans="2:16" x14ac:dyDescent="0.3">
      <c r="C24" t="s">
        <v>24</v>
      </c>
      <c r="D24">
        <f>(1-H14)*lp + SUM(D17:D22)</f>
        <v>7.885952440553709E-2</v>
      </c>
      <c r="E24">
        <f>(1-M34)*lp + SUM(E17:E22)</f>
        <v>6.7384680064277724E-2</v>
      </c>
      <c r="G24" s="15" t="s">
        <v>13</v>
      </c>
      <c r="H24" s="5">
        <f>H23*nu_235</f>
        <v>2.0655000000000001</v>
      </c>
      <c r="I24" s="5" cm="1">
        <f t="array" ref="I24">I23*nu_239</f>
        <v>0.435</v>
      </c>
      <c r="J24" s="5">
        <f>SUM(H24:I24)</f>
        <v>2.5005000000000002</v>
      </c>
      <c r="K24" s="5"/>
      <c r="L24" s="16" t="s">
        <v>13</v>
      </c>
      <c r="M24" s="5">
        <f>M23*nu_235</f>
        <v>1.7010000000000001</v>
      </c>
      <c r="N24" s="5" cm="1">
        <f t="array" ref="N24">N23*nu_239</f>
        <v>0.87</v>
      </c>
      <c r="O24" s="5">
        <f>SUM(M24:N24)</f>
        <v>2.5710000000000002</v>
      </c>
      <c r="P24" s="17"/>
    </row>
    <row r="25" spans="2:16" x14ac:dyDescent="0.3">
      <c r="C25" t="s">
        <v>25</v>
      </c>
      <c r="D25">
        <v>0</v>
      </c>
      <c r="E25">
        <f>(E24-D24)/D24</f>
        <v>-0.1455099358987976</v>
      </c>
      <c r="G25" s="18"/>
      <c r="H25" s="5"/>
      <c r="I25" s="5"/>
      <c r="J25" s="5"/>
      <c r="K25" s="5"/>
      <c r="L25" s="5"/>
      <c r="M25" s="5"/>
      <c r="N25" s="5"/>
      <c r="O25" s="5"/>
      <c r="P25" s="17"/>
    </row>
    <row r="26" spans="2:16" ht="15.6" x14ac:dyDescent="0.3">
      <c r="G26" s="19" t="s">
        <v>7</v>
      </c>
      <c r="H26" s="26" t="s">
        <v>21</v>
      </c>
      <c r="I26" s="5"/>
      <c r="J26" s="5"/>
      <c r="K26" s="5"/>
      <c r="L26" s="19" t="s">
        <v>9</v>
      </c>
      <c r="M26" s="26" t="s">
        <v>21</v>
      </c>
      <c r="N26" s="5"/>
      <c r="O26" s="5"/>
      <c r="P26" s="17"/>
    </row>
    <row r="27" spans="2:16" x14ac:dyDescent="0.3">
      <c r="G27" s="18"/>
      <c r="H27" s="5">
        <f>(($D3*u_moc1)+($E3*pu_moc1))/tot_moc1</f>
        <v>1.8564487102579484E-4</v>
      </c>
      <c r="I27" s="5"/>
      <c r="J27" s="5"/>
      <c r="K27" s="5"/>
      <c r="L27" s="5"/>
      <c r="M27" s="5">
        <f>(($D3*u_eoc)+($E3*pu_eoc))/tot_eoc</f>
        <v>1.6262543757292883E-4</v>
      </c>
      <c r="N27" s="5"/>
      <c r="O27" s="5"/>
      <c r="P27" s="17"/>
    </row>
    <row r="28" spans="2:16" x14ac:dyDescent="0.3">
      <c r="G28" s="18"/>
      <c r="H28" s="5">
        <f>(($D4*u_moc1)+($E4*pu_moc1))/tot_moc1</f>
        <v>1.2825674865026995E-3</v>
      </c>
      <c r="I28" s="5"/>
      <c r="J28" s="5"/>
      <c r="K28" s="5"/>
      <c r="L28" s="5"/>
      <c r="M28" s="5">
        <f>(($D4*u_eoc)+($E4*pu_eoc))/tot_eoc</f>
        <v>1.1526721120186697E-3</v>
      </c>
      <c r="N28" s="5"/>
      <c r="O28" s="5"/>
      <c r="P28" s="17"/>
    </row>
    <row r="29" spans="2:16" x14ac:dyDescent="0.3">
      <c r="G29" s="18"/>
      <c r="H29" s="5">
        <f>(($D5*u_moc1)+($E5*pu_moc1))/tot_moc1</f>
        <v>1.133869226154769E-3</v>
      </c>
      <c r="I29" s="5"/>
      <c r="J29" s="5"/>
      <c r="K29" s="5"/>
      <c r="L29" s="5"/>
      <c r="M29" s="5">
        <f>(($D5*u_eoc)+($E5*pu_eoc))/tot_eoc</f>
        <v>9.9575262543757296E-4</v>
      </c>
      <c r="N29" s="5"/>
      <c r="O29" s="5"/>
      <c r="P29" s="17"/>
    </row>
    <row r="30" spans="2:16" x14ac:dyDescent="0.3">
      <c r="G30" s="18"/>
      <c r="H30" s="5">
        <f>(($D6*u_moc1)+($E6*pu_moc1))/tot_moc1</f>
        <v>2.2429454109178164E-3</v>
      </c>
      <c r="I30" s="5"/>
      <c r="J30" s="5"/>
      <c r="K30" s="5"/>
      <c r="L30" s="5"/>
      <c r="M30" s="5">
        <f>(($D6*u_eoc)+($E6*pu_eoc))/tot_eoc</f>
        <v>1.9338273045507583E-3</v>
      </c>
      <c r="N30" s="5"/>
      <c r="O30" s="5"/>
      <c r="P30" s="17"/>
    </row>
    <row r="31" spans="2:16" x14ac:dyDescent="0.3">
      <c r="G31" s="18"/>
      <c r="H31" s="5">
        <f>(($D7*u_moc1)+($E7*pu_moc1))/tot_moc1</f>
        <v>6.5083983203359324E-4</v>
      </c>
      <c r="I31" s="5"/>
      <c r="J31" s="5"/>
      <c r="K31" s="5"/>
      <c r="L31" s="5"/>
      <c r="M31" s="5">
        <f>(($D7*u_eoc)+($E7*pu_eoc))/tot_eoc</f>
        <v>5.5711785297549588E-4</v>
      </c>
      <c r="N31" s="5"/>
      <c r="O31" s="5"/>
      <c r="P31" s="17"/>
    </row>
    <row r="32" spans="2:16" ht="15" thickBot="1" x14ac:dyDescent="0.35">
      <c r="G32" s="18"/>
      <c r="H32" s="5">
        <f>(($D8*u_moc1)+($E8*pu_moc1))/tot_moc1</f>
        <v>2.3868626274745048E-4</v>
      </c>
      <c r="I32" s="5"/>
      <c r="J32" s="5"/>
      <c r="K32" s="5"/>
      <c r="L32" s="5"/>
      <c r="M32" s="5">
        <f>(($D8*u_eoc)+($E8*pu_eoc))/tot_eoc</f>
        <v>2.0908984830805133E-4</v>
      </c>
      <c r="N32" s="5"/>
      <c r="O32" s="5"/>
      <c r="P32" s="17"/>
    </row>
    <row r="33" spans="7:16" ht="15" thickTop="1" x14ac:dyDescent="0.3">
      <c r="G33" s="20"/>
      <c r="H33" s="2" t="s">
        <v>15</v>
      </c>
      <c r="I33" s="3"/>
      <c r="J33" s="5"/>
      <c r="K33" s="5"/>
      <c r="L33" s="1"/>
      <c r="M33" s="2"/>
      <c r="N33" s="3" t="s">
        <v>15</v>
      </c>
      <c r="O33" s="5"/>
      <c r="P33" s="17"/>
    </row>
    <row r="34" spans="7:16" x14ac:dyDescent="0.3">
      <c r="G34" s="18" t="s">
        <v>16</v>
      </c>
      <c r="H34" s="5">
        <f>SUM(H27:H32)</f>
        <v>5.7345530893821231E-3</v>
      </c>
      <c r="I34" s="6">
        <f>(H34-$H14)/H34</f>
        <v>-4.3649021175261267E-2</v>
      </c>
      <c r="J34" s="5"/>
      <c r="K34" s="5"/>
      <c r="L34" s="4" t="s">
        <v>16</v>
      </c>
      <c r="M34" s="5">
        <f>SUM(M27:M32)</f>
        <v>5.0110851808634772E-3</v>
      </c>
      <c r="N34" s="6">
        <f>(M34-$H14)/M34</f>
        <v>-0.19432428358361123</v>
      </c>
      <c r="O34" s="5"/>
      <c r="P34" s="17"/>
    </row>
    <row r="35" spans="7:16" ht="15" thickBot="1" x14ac:dyDescent="0.35">
      <c r="G35" s="21" t="s">
        <v>17</v>
      </c>
      <c r="H35" s="8">
        <f>tot_moc1</f>
        <v>2.5005000000000002</v>
      </c>
      <c r="I35" s="9">
        <f>(H35-$H15)/H35</f>
        <v>9.398120375924756E-3</v>
      </c>
      <c r="J35" s="5"/>
      <c r="K35" s="5"/>
      <c r="L35" s="7" t="s">
        <v>17</v>
      </c>
      <c r="M35" s="8">
        <f>tot_eoc</f>
        <v>2.5710000000000002</v>
      </c>
      <c r="N35" s="9">
        <f>(M35-$H15)/M35</f>
        <v>3.656164916374946E-2</v>
      </c>
      <c r="O35" s="5"/>
      <c r="P35" s="17"/>
    </row>
    <row r="36" spans="7:16" ht="15.6" thickTop="1" thickBot="1" x14ac:dyDescent="0.35">
      <c r="G36" s="22"/>
      <c r="H36" s="23"/>
      <c r="I36" s="23"/>
      <c r="J36" s="23"/>
      <c r="K36" s="23"/>
      <c r="L36" s="23"/>
      <c r="M36" s="23"/>
      <c r="N36" s="23"/>
      <c r="O36" s="23"/>
      <c r="P36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8DFF-01BC-46B1-9DC1-AEC35A8E6E6A}">
  <dimension ref="A2:P32"/>
  <sheetViews>
    <sheetView zoomScale="85" zoomScaleNormal="85" workbookViewId="0">
      <selection activeCell="R15" sqref="R15"/>
    </sheetView>
  </sheetViews>
  <sheetFormatPr defaultRowHeight="14.4" x14ac:dyDescent="0.3"/>
  <cols>
    <col min="1" max="1" width="27.109375" customWidth="1"/>
    <col min="11" max="11" width="9.21875" bestFit="1" customWidth="1"/>
    <col min="16" max="16" width="15.44140625" customWidth="1"/>
  </cols>
  <sheetData>
    <row r="2" spans="1:16" x14ac:dyDescent="0.3">
      <c r="B2" s="10" t="s">
        <v>26</v>
      </c>
      <c r="C2" s="10" t="s">
        <v>27</v>
      </c>
      <c r="D2" s="10" t="s">
        <v>28</v>
      </c>
      <c r="E2" s="10"/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/>
      <c r="L2" s="10" t="s">
        <v>34</v>
      </c>
      <c r="M2" s="10"/>
      <c r="N2" s="10" t="s">
        <v>35</v>
      </c>
    </row>
    <row r="3" spans="1:16" x14ac:dyDescent="0.3">
      <c r="C3">
        <v>0</v>
      </c>
      <c r="D3" s="25">
        <v>10000000</v>
      </c>
      <c r="F3">
        <v>0</v>
      </c>
      <c r="G3">
        <v>0</v>
      </c>
      <c r="H3">
        <v>0</v>
      </c>
      <c r="I3">
        <v>0</v>
      </c>
      <c r="J3">
        <v>0</v>
      </c>
      <c r="L3" s="25">
        <f>D3-D4</f>
        <v>3935000</v>
      </c>
      <c r="N3" cm="1">
        <f t="array" ref="N3">SUM((F3:I3+F4:I4)/2)</f>
        <v>0</v>
      </c>
    </row>
    <row r="4" spans="1:16" ht="15" thickBot="1" x14ac:dyDescent="0.35">
      <c r="B4" s="27">
        <v>1</v>
      </c>
      <c r="C4">
        <v>0.5</v>
      </c>
      <c r="D4" s="25">
        <v>6065000</v>
      </c>
      <c r="F4">
        <v>0</v>
      </c>
      <c r="G4">
        <v>0</v>
      </c>
      <c r="H4">
        <v>0</v>
      </c>
      <c r="I4">
        <v>0</v>
      </c>
      <c r="J4">
        <v>3.2500000000000001E-2</v>
      </c>
      <c r="L4" s="25">
        <f>D4-D5</f>
        <v>2386000</v>
      </c>
      <c r="N4" cm="1">
        <f t="array" ref="N4">SUM((F4:I4+F5:I5)/2)</f>
        <v>0</v>
      </c>
    </row>
    <row r="5" spans="1:16" ht="15" thickTop="1" x14ac:dyDescent="0.3">
      <c r="B5" s="27">
        <v>2</v>
      </c>
      <c r="C5">
        <v>1</v>
      </c>
      <c r="D5" s="25">
        <v>3679000</v>
      </c>
      <c r="F5">
        <v>0</v>
      </c>
      <c r="G5">
        <v>0</v>
      </c>
      <c r="H5">
        <v>0</v>
      </c>
      <c r="I5">
        <v>0</v>
      </c>
      <c r="J5">
        <v>0.1217</v>
      </c>
      <c r="L5" s="25">
        <f>D5-D6</f>
        <v>1448000</v>
      </c>
      <c r="N5" cm="1">
        <f t="array" ref="N5">SUM((F5:I5+F6:I6)/2)</f>
        <v>0</v>
      </c>
      <c r="P5" s="28" t="s">
        <v>37</v>
      </c>
    </row>
    <row r="6" spans="1:16" x14ac:dyDescent="0.3">
      <c r="B6" s="27">
        <v>3</v>
      </c>
      <c r="C6">
        <v>1.5</v>
      </c>
      <c r="D6" s="25">
        <v>2231000</v>
      </c>
      <c r="F6">
        <v>0</v>
      </c>
      <c r="G6">
        <v>0</v>
      </c>
      <c r="H6">
        <v>0</v>
      </c>
      <c r="I6">
        <v>0</v>
      </c>
      <c r="J6">
        <v>0.2109</v>
      </c>
      <c r="L6" s="25">
        <f>D6-D7</f>
        <v>878000</v>
      </c>
      <c r="N6" cm="1">
        <f t="array" ref="N6">SUM((F6:I6+F7:I7)/2)</f>
        <v>4.4999999999999997E-3</v>
      </c>
      <c r="P6" s="29">
        <f>SUM(N3:N9)/SUM(N3:N31)</f>
        <v>2.2560679718930159E-2</v>
      </c>
    </row>
    <row r="7" spans="1:16" x14ac:dyDescent="0.3">
      <c r="B7" s="27">
        <v>4</v>
      </c>
      <c r="C7">
        <v>2</v>
      </c>
      <c r="D7" s="25">
        <v>1353000</v>
      </c>
      <c r="F7">
        <v>0</v>
      </c>
      <c r="G7">
        <v>0</v>
      </c>
      <c r="H7">
        <v>0</v>
      </c>
      <c r="I7">
        <v>8.9999999999999993E-3</v>
      </c>
      <c r="J7">
        <v>0.223</v>
      </c>
      <c r="L7" s="25">
        <f>D7-D11</f>
        <v>532000</v>
      </c>
      <c r="N7" cm="1">
        <f t="array" ref="N7">SUM((F7:I7+F9:I9)/2)</f>
        <v>2.8574248120300749E-2</v>
      </c>
      <c r="P7" s="29"/>
    </row>
    <row r="8" spans="1:16" x14ac:dyDescent="0.3">
      <c r="A8" t="s">
        <v>38</v>
      </c>
      <c r="B8" s="27"/>
      <c r="P8" s="29"/>
    </row>
    <row r="9" spans="1:16" x14ac:dyDescent="0.3">
      <c r="A9">
        <f>(1-0.821)/(1.353-0.821)</f>
        <v>0.33646616541353391</v>
      </c>
      <c r="B9" s="27">
        <f>B11+w*(B7-B11)</f>
        <v>4.6635338345864659</v>
      </c>
      <c r="C9">
        <f>C11+w*(C7-C11)</f>
        <v>2.3317669172932329</v>
      </c>
      <c r="D9">
        <f>D11+w*(D7-D11)</f>
        <v>1000000</v>
      </c>
      <c r="F9">
        <f>F11+w*(F7-F11)</f>
        <v>5.9718045112781941E-3</v>
      </c>
      <c r="G9">
        <f>G11+w*(G7-G11)</f>
        <v>1.4597744360902252E-2</v>
      </c>
      <c r="H9">
        <f>H11+w*(H7-H11)</f>
        <v>7.9624060150375944E-3</v>
      </c>
      <c r="I9">
        <f>I11+w*(I7-I11)</f>
        <v>1.9616541353383459E-2</v>
      </c>
      <c r="J9">
        <f>J11+w*(J7-J11)</f>
        <v>0.18969060150375941</v>
      </c>
      <c r="L9">
        <f>L11+w*(L7-L11)</f>
        <v>393321.42857142858</v>
      </c>
      <c r="N9" cm="1">
        <f t="array" ref="N9">SUM((F9:I9+F11:I11)/2)</f>
        <v>5.807424812030075E-2</v>
      </c>
      <c r="P9" s="29" t="s">
        <v>36</v>
      </c>
    </row>
    <row r="10" spans="1:16" x14ac:dyDescent="0.3">
      <c r="B10" s="27"/>
      <c r="P10" s="29"/>
    </row>
    <row r="11" spans="1:16" ht="15" thickBot="1" x14ac:dyDescent="0.35">
      <c r="B11" s="27">
        <v>5</v>
      </c>
      <c r="C11">
        <v>2.5</v>
      </c>
      <c r="D11" s="25">
        <v>821000</v>
      </c>
      <c r="F11">
        <v>8.9999999999999993E-3</v>
      </c>
      <c r="G11">
        <v>2.1999999999999999E-2</v>
      </c>
      <c r="H11">
        <v>1.2E-2</v>
      </c>
      <c r="I11">
        <v>2.5000000000000001E-2</v>
      </c>
      <c r="J11">
        <v>0.17280000000000001</v>
      </c>
      <c r="L11" s="25">
        <f>D11-D12</f>
        <v>323000</v>
      </c>
      <c r="N11" cm="1">
        <f t="array" ref="N11">SUM((F11:I11+F12:I12)/2)</f>
        <v>0.14350000000000002</v>
      </c>
      <c r="P11" s="30">
        <f>SUM(J3:J9)/SUM(J3:J32)</f>
        <v>0.65465596690969063</v>
      </c>
    </row>
    <row r="12" spans="1:16" ht="15" thickTop="1" x14ac:dyDescent="0.3">
      <c r="B12" s="27">
        <v>6</v>
      </c>
      <c r="C12">
        <v>3</v>
      </c>
      <c r="D12" s="25">
        <v>498000</v>
      </c>
      <c r="F12">
        <v>2.1000000000000001E-2</v>
      </c>
      <c r="G12">
        <v>6.6000000000000003E-2</v>
      </c>
      <c r="H12">
        <v>7.0000000000000007E-2</v>
      </c>
      <c r="I12">
        <v>6.2E-2</v>
      </c>
      <c r="J12">
        <v>0.1105</v>
      </c>
      <c r="L12" s="25">
        <f>D12-D13</f>
        <v>196000</v>
      </c>
      <c r="N12" cm="1">
        <f t="array" ref="N12">SUM((F12:I12+F13:I13)/2)</f>
        <v>0.49099999999999999</v>
      </c>
    </row>
    <row r="13" spans="1:16" x14ac:dyDescent="0.3">
      <c r="B13" s="27">
        <v>7</v>
      </c>
      <c r="C13">
        <v>3.5</v>
      </c>
      <c r="D13" s="25">
        <v>302000</v>
      </c>
      <c r="F13">
        <v>9.2999999999999999E-2</v>
      </c>
      <c r="G13">
        <v>0.29499999999999998</v>
      </c>
      <c r="H13">
        <v>0.191</v>
      </c>
      <c r="I13">
        <v>0.184</v>
      </c>
      <c r="J13">
        <v>6.2799999999999995E-2</v>
      </c>
      <c r="L13" s="25">
        <f>D13-D14</f>
        <v>119000</v>
      </c>
      <c r="N13" cm="1">
        <f t="array" ref="N13">SUM((F13:I13+F14:I14)/2)</f>
        <v>0.59150000000000003</v>
      </c>
    </row>
    <row r="14" spans="1:16" x14ac:dyDescent="0.3">
      <c r="B14" s="27">
        <v>8</v>
      </c>
      <c r="C14">
        <v>4</v>
      </c>
      <c r="D14" s="25">
        <v>183000</v>
      </c>
      <c r="F14">
        <v>8.7999999999999995E-2</v>
      </c>
      <c r="G14">
        <v>0.11</v>
      </c>
      <c r="H14">
        <v>9.4E-2</v>
      </c>
      <c r="I14">
        <v>0.128</v>
      </c>
      <c r="J14">
        <v>3.1600000000000003E-2</v>
      </c>
      <c r="L14" s="25">
        <f>D14-D15</f>
        <v>72000</v>
      </c>
      <c r="N14" cm="1">
        <f t="array" ref="N14">SUM((F14:I14+F15:I15)/2)</f>
        <v>0.46400000000000002</v>
      </c>
    </row>
    <row r="15" spans="1:16" x14ac:dyDescent="0.3">
      <c r="B15" s="27">
        <v>9</v>
      </c>
      <c r="C15">
        <v>4.5</v>
      </c>
      <c r="D15" s="25">
        <v>111000</v>
      </c>
      <c r="F15">
        <v>0.156</v>
      </c>
      <c r="G15">
        <v>9.8000000000000004E-2</v>
      </c>
      <c r="H15">
        <v>9.7000000000000003E-2</v>
      </c>
      <c r="I15">
        <v>0.157</v>
      </c>
      <c r="J15">
        <v>1.6799999999999999E-2</v>
      </c>
      <c r="L15" s="25">
        <f>D15-D16</f>
        <v>43600</v>
      </c>
      <c r="N15" cm="1">
        <f t="array" ref="N15">SUM((F15:I15+F16:I16)/2)</f>
        <v>0.52750000000000008</v>
      </c>
    </row>
    <row r="16" spans="1:16" x14ac:dyDescent="0.3">
      <c r="B16" s="27">
        <v>10</v>
      </c>
      <c r="C16">
        <v>5</v>
      </c>
      <c r="D16" s="25">
        <v>67400</v>
      </c>
      <c r="F16">
        <v>0.17399999999999999</v>
      </c>
      <c r="G16">
        <v>0.108</v>
      </c>
      <c r="H16">
        <v>0.156</v>
      </c>
      <c r="I16">
        <v>0.109</v>
      </c>
      <c r="J16">
        <v>8.3000000000000001E-3</v>
      </c>
      <c r="L16" s="25">
        <f>D16-D17</f>
        <v>26500</v>
      </c>
      <c r="N16" cm="1">
        <f t="array" ref="N16">SUM((F16:I16+F17:I17)/2)</f>
        <v>0.53799999999999992</v>
      </c>
    </row>
    <row r="17" spans="2:14" x14ac:dyDescent="0.3">
      <c r="B17" s="27">
        <v>11</v>
      </c>
      <c r="C17">
        <v>5.5</v>
      </c>
      <c r="D17" s="25">
        <v>40900</v>
      </c>
      <c r="F17">
        <v>0.17100000000000001</v>
      </c>
      <c r="G17">
        <v>0.107</v>
      </c>
      <c r="H17">
        <v>0.14199999999999999</v>
      </c>
      <c r="I17">
        <v>0.109</v>
      </c>
      <c r="J17">
        <v>4.0000000000000001E-3</v>
      </c>
      <c r="L17" s="25">
        <f>D17-D18</f>
        <v>16100</v>
      </c>
      <c r="N17" cm="1">
        <f t="array" ref="N17">SUM((F17:I17+F18:I18)/2)</f>
        <v>0.48250000000000004</v>
      </c>
    </row>
    <row r="18" spans="2:14" x14ac:dyDescent="0.3">
      <c r="B18" s="27">
        <v>12</v>
      </c>
      <c r="C18">
        <v>6</v>
      </c>
      <c r="D18" s="25">
        <v>24800</v>
      </c>
      <c r="F18">
        <v>0.13100000000000001</v>
      </c>
      <c r="G18">
        <v>8.7999999999999995E-2</v>
      </c>
      <c r="H18">
        <v>0.11799999999999999</v>
      </c>
      <c r="I18">
        <v>9.9000000000000005E-2</v>
      </c>
      <c r="J18">
        <v>1.9E-3</v>
      </c>
      <c r="L18" s="25">
        <f>D18-D19</f>
        <v>9800</v>
      </c>
      <c r="N18" cm="1">
        <f t="array" ref="N18">SUM((F18:I18+F19:I19)/2)</f>
        <v>0.40249999999999997</v>
      </c>
    </row>
    <row r="19" spans="2:14" x14ac:dyDescent="0.3">
      <c r="B19" s="27">
        <v>13</v>
      </c>
      <c r="C19">
        <v>6.5</v>
      </c>
      <c r="D19" s="25">
        <v>15000</v>
      </c>
      <c r="F19">
        <v>0.121</v>
      </c>
      <c r="G19">
        <v>7.9000000000000001E-2</v>
      </c>
      <c r="H19">
        <v>0.08</v>
      </c>
      <c r="I19">
        <v>8.8999999999999996E-2</v>
      </c>
      <c r="J19">
        <v>8.9999999999999998E-4</v>
      </c>
      <c r="L19" s="25">
        <f>D19-D20</f>
        <v>5880</v>
      </c>
      <c r="N19" cm="1">
        <f t="array" ref="N19">SUM((F19:I19+F20:I20)/2)</f>
        <v>0.21599999999999997</v>
      </c>
    </row>
    <row r="20" spans="2:14" x14ac:dyDescent="0.3">
      <c r="B20" s="27">
        <v>14</v>
      </c>
      <c r="C20">
        <v>7</v>
      </c>
      <c r="D20" s="25">
        <v>9120</v>
      </c>
      <c r="F20">
        <v>0.02</v>
      </c>
      <c r="G20">
        <v>1.2999999999999999E-2</v>
      </c>
      <c r="H20">
        <v>1.4999999999999999E-2</v>
      </c>
      <c r="I20">
        <v>1.4999999999999999E-2</v>
      </c>
      <c r="J20">
        <v>4.0000000000000002E-4</v>
      </c>
      <c r="L20" s="25">
        <f>D20-D21</f>
        <v>3590</v>
      </c>
      <c r="N20" cm="1">
        <f t="array" ref="N20">SUM((F20:I20+F21:I21)/2)</f>
        <v>5.2000000000000005E-2</v>
      </c>
    </row>
    <row r="21" spans="2:14" x14ac:dyDescent="0.3">
      <c r="B21" s="27">
        <v>15</v>
      </c>
      <c r="C21">
        <v>7.5</v>
      </c>
      <c r="D21" s="25">
        <v>5530</v>
      </c>
      <c r="F21">
        <v>0.01</v>
      </c>
      <c r="G21">
        <v>8.9999999999999993E-3</v>
      </c>
      <c r="H21">
        <v>1.2E-2</v>
      </c>
      <c r="I21">
        <v>0.01</v>
      </c>
      <c r="J21">
        <v>2.0000000000000001E-4</v>
      </c>
      <c r="L21" s="25">
        <f>D21-D22</f>
        <v>2180</v>
      </c>
      <c r="N21" cm="1">
        <f t="array" ref="N21">SUM((F21:I21+F22:I22)/2)</f>
        <v>2.9499999999999998E-2</v>
      </c>
    </row>
    <row r="22" spans="2:14" x14ac:dyDescent="0.3">
      <c r="B22" s="27">
        <v>16</v>
      </c>
      <c r="C22">
        <v>8</v>
      </c>
      <c r="D22" s="25">
        <v>3350</v>
      </c>
      <c r="F22">
        <v>5.0000000000000001E-3</v>
      </c>
      <c r="G22">
        <v>4.0000000000000001E-3</v>
      </c>
      <c r="H22">
        <v>5.0000000000000001E-3</v>
      </c>
      <c r="I22">
        <v>4.0000000000000001E-3</v>
      </c>
      <c r="J22">
        <v>1E-4</v>
      </c>
      <c r="L22" s="25">
        <f>D22-D23</f>
        <v>1320</v>
      </c>
      <c r="N22" cm="1">
        <f t="array" ref="N22">SUM((F22:I22+F23:I23)/2)</f>
        <v>0.01</v>
      </c>
    </row>
    <row r="23" spans="2:14" x14ac:dyDescent="0.3">
      <c r="B23" s="27">
        <v>17</v>
      </c>
      <c r="C23">
        <v>8.5</v>
      </c>
      <c r="D23" s="25">
        <v>2030</v>
      </c>
      <c r="F23">
        <v>1E-3</v>
      </c>
      <c r="G23">
        <v>1E-3</v>
      </c>
      <c r="H23">
        <v>0</v>
      </c>
      <c r="I23">
        <v>0</v>
      </c>
      <c r="J23">
        <v>0</v>
      </c>
      <c r="L23" s="25">
        <f>D23-D24</f>
        <v>800</v>
      </c>
      <c r="N23" cm="1">
        <f t="array" ref="N23">SUM((F23:I23+F24:I24)/2)</f>
        <v>1E-3</v>
      </c>
    </row>
    <row r="24" spans="2:14" x14ac:dyDescent="0.3">
      <c r="B24" s="27">
        <v>18</v>
      </c>
      <c r="C24">
        <v>9</v>
      </c>
      <c r="D24" s="25">
        <v>1230</v>
      </c>
      <c r="F24">
        <v>0</v>
      </c>
      <c r="G24">
        <v>0</v>
      </c>
      <c r="H24">
        <v>0</v>
      </c>
      <c r="I24">
        <v>0</v>
      </c>
      <c r="J24">
        <v>0</v>
      </c>
      <c r="L24" s="25">
        <f>D24-D25</f>
        <v>481</v>
      </c>
      <c r="N24" cm="1">
        <f t="array" ref="N24">SUM((F24:I24+F25:I25)/2)</f>
        <v>0</v>
      </c>
    </row>
    <row r="25" spans="2:14" x14ac:dyDescent="0.3">
      <c r="B25" s="27">
        <v>19</v>
      </c>
      <c r="C25">
        <v>9.5</v>
      </c>
      <c r="D25" s="25">
        <v>749</v>
      </c>
      <c r="F25">
        <v>0</v>
      </c>
      <c r="G25">
        <v>0</v>
      </c>
      <c r="H25">
        <v>0</v>
      </c>
      <c r="I25">
        <v>0</v>
      </c>
      <c r="J25">
        <v>0</v>
      </c>
      <c r="L25" s="25">
        <f>D25-D26</f>
        <v>295</v>
      </c>
      <c r="N25" cm="1">
        <f t="array" ref="N25">SUM((F25:I25+F26:I26)/2)</f>
        <v>0</v>
      </c>
    </row>
    <row r="26" spans="2:14" x14ac:dyDescent="0.3">
      <c r="B26" s="27">
        <v>20</v>
      </c>
      <c r="C26">
        <v>10</v>
      </c>
      <c r="D26" s="25">
        <v>454</v>
      </c>
      <c r="F26">
        <v>0</v>
      </c>
      <c r="G26">
        <v>0</v>
      </c>
      <c r="H26">
        <v>0</v>
      </c>
      <c r="I26">
        <v>0</v>
      </c>
      <c r="J26">
        <v>0</v>
      </c>
      <c r="L26" s="25">
        <f>D26-D27</f>
        <v>179</v>
      </c>
      <c r="N26" cm="1">
        <f t="array" ref="N26">SUM((F26:I26+F27:I27)/2)</f>
        <v>0</v>
      </c>
    </row>
    <row r="27" spans="2:14" x14ac:dyDescent="0.3">
      <c r="B27" s="27">
        <v>21</v>
      </c>
      <c r="C27">
        <v>10.5</v>
      </c>
      <c r="D27" s="25">
        <v>275</v>
      </c>
      <c r="F27">
        <v>0</v>
      </c>
      <c r="G27">
        <v>0</v>
      </c>
      <c r="H27">
        <v>0</v>
      </c>
      <c r="I27">
        <v>0</v>
      </c>
      <c r="J27">
        <v>0</v>
      </c>
      <c r="L27" s="25">
        <f>D27-D28</f>
        <v>108</v>
      </c>
      <c r="N27" cm="1">
        <f t="array" ref="N27">SUM((F27:I27+F28:I28)/2)</f>
        <v>0</v>
      </c>
    </row>
    <row r="28" spans="2:14" x14ac:dyDescent="0.3">
      <c r="B28" s="27">
        <v>22</v>
      </c>
      <c r="C28">
        <v>11</v>
      </c>
      <c r="D28" s="25">
        <v>167</v>
      </c>
      <c r="F28">
        <v>0</v>
      </c>
      <c r="G28">
        <v>0</v>
      </c>
      <c r="H28">
        <v>0</v>
      </c>
      <c r="I28">
        <v>0</v>
      </c>
      <c r="J28">
        <v>0</v>
      </c>
      <c r="L28" s="25">
        <f>D28-D29</f>
        <v>66</v>
      </c>
      <c r="N28" cm="1">
        <f t="array" ref="N28">SUM((F28:I28+F29:I29)/2)</f>
        <v>0</v>
      </c>
    </row>
    <row r="29" spans="2:14" x14ac:dyDescent="0.3">
      <c r="B29" s="27">
        <v>23</v>
      </c>
      <c r="C29">
        <v>11.5</v>
      </c>
      <c r="D29" s="25">
        <v>101</v>
      </c>
      <c r="F29">
        <v>0</v>
      </c>
      <c r="G29">
        <v>0</v>
      </c>
      <c r="H29">
        <v>0</v>
      </c>
      <c r="I29">
        <v>0</v>
      </c>
      <c r="J29">
        <v>0</v>
      </c>
      <c r="L29" s="25">
        <f>D29-D30</f>
        <v>39.6</v>
      </c>
      <c r="N29" cm="1">
        <f t="array" ref="N29">SUM((F29:I29+F30:I30)/2)</f>
        <v>0</v>
      </c>
    </row>
    <row r="30" spans="2:14" x14ac:dyDescent="0.3">
      <c r="B30" s="27">
        <v>24</v>
      </c>
      <c r="C30">
        <v>12</v>
      </c>
      <c r="D30" s="25">
        <v>61.4</v>
      </c>
      <c r="F30">
        <v>0</v>
      </c>
      <c r="G30">
        <v>0</v>
      </c>
      <c r="H30">
        <v>0</v>
      </c>
      <c r="I30">
        <v>0</v>
      </c>
      <c r="J30">
        <v>0</v>
      </c>
      <c r="L30" s="25">
        <f>D30-D31</f>
        <v>24.1</v>
      </c>
      <c r="N30" cm="1">
        <f t="array" ref="N30">SUM((F30:I30+F31:I31)/2)</f>
        <v>0</v>
      </c>
    </row>
    <row r="31" spans="2:14" x14ac:dyDescent="0.3">
      <c r="B31" s="27">
        <v>25</v>
      </c>
      <c r="C31">
        <v>12.5</v>
      </c>
      <c r="D31" s="25">
        <v>37.299999999999997</v>
      </c>
      <c r="F31">
        <v>0</v>
      </c>
      <c r="G31">
        <v>0</v>
      </c>
      <c r="H31">
        <v>0</v>
      </c>
      <c r="I31">
        <v>0</v>
      </c>
      <c r="J31">
        <v>0</v>
      </c>
      <c r="L31" s="25">
        <f>D31-D32</f>
        <v>14.699999999999996</v>
      </c>
      <c r="N31" cm="1">
        <f t="array" ref="N31">SUM((F31:I31+F32:I32)/2)</f>
        <v>0</v>
      </c>
    </row>
    <row r="32" spans="2:14" x14ac:dyDescent="0.3">
      <c r="B32" s="27">
        <v>26</v>
      </c>
      <c r="C32">
        <v>13</v>
      </c>
      <c r="D32" s="25">
        <v>22.6</v>
      </c>
      <c r="F32">
        <v>0</v>
      </c>
      <c r="G32">
        <v>0</v>
      </c>
      <c r="H32">
        <v>0</v>
      </c>
      <c r="I32">
        <v>0</v>
      </c>
      <c r="J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Problem1</vt:lpstr>
      <vt:lpstr>Problem3</vt:lpstr>
      <vt:lpstr>lp</vt:lpstr>
      <vt:lpstr>nu_235</vt:lpstr>
      <vt:lpstr>nu_239</vt:lpstr>
      <vt:lpstr>pu_boc</vt:lpstr>
      <vt:lpstr>pu_eoc</vt:lpstr>
      <vt:lpstr>pu_moc1</vt:lpstr>
      <vt:lpstr>pu_moc2</vt:lpstr>
      <vt:lpstr>tot_boc</vt:lpstr>
      <vt:lpstr>tot_eoc</vt:lpstr>
      <vt:lpstr>tot_moc1</vt:lpstr>
      <vt:lpstr>tot_moc2</vt:lpstr>
      <vt:lpstr>u_boc</vt:lpstr>
      <vt:lpstr>u_eoc</vt:lpstr>
      <vt:lpstr>u_moc1</vt:lpstr>
      <vt:lpstr>u_moc2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Hansen</dc:creator>
  <cp:lastModifiedBy>Kyle Hansen</cp:lastModifiedBy>
  <dcterms:created xsi:type="dcterms:W3CDTF">2026-02-12T05:38:50Z</dcterms:created>
  <dcterms:modified xsi:type="dcterms:W3CDTF">2026-02-12T07:32:34Z</dcterms:modified>
</cp:coreProperties>
</file>